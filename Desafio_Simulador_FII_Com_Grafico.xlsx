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_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000%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244062"/>
        <bgColor rgb="0024406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3" borderId="1" pivotButton="0" quotePrefix="0" xfId="0"/>
    <xf numFmtId="1" fontId="0" fillId="0" borderId="1" pivotButton="0" quotePrefix="0" xfId="0"/>
    <xf numFmtId="165" fontId="0" fillId="0" borderId="1" pivotButton="0" quotePrefix="0" xfId="0"/>
    <xf numFmtId="164" fontId="2" fillId="3" borderId="1" pivotButton="0" quotePrefix="0" xfId="0"/>
    <xf numFmtId="0" fontId="4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3" borderId="1" pivotButton="0" quotePrefix="0" xfId="0"/>
    <xf numFmtId="0" fontId="2" fillId="5" borderId="1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Recomendada da Alocação</a:t>
            </a:r>
          </a:p>
        </rich>
      </tx>
    </title>
    <plotArea>
      <doughnutChart>
        <varyColors val="1"/>
        <ser>
          <idx val="0"/>
          <order val="0"/>
          <tx>
            <strRef>
              <f>'Simulador'!B26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'Simulador'!$A$27:$A$32</f>
            </numRef>
          </cat>
          <val>
            <numRef>
              <f>'Simulador'!$B$27:$B$32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FULANO INVEST | SIMULADOR DE FIIS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/>
    <row r="5">
      <c r="A5" s="3" t="inlineStr">
        <is>
          <t>CONFIGURAÇÕES</t>
        </is>
      </c>
      <c r="B5" s="4" t="n"/>
    </row>
    <row r="6">
      <c r="A6" s="5" t="inlineStr">
        <is>
          <t>Salário</t>
        </is>
      </c>
      <c r="B6" s="6" t="n">
        <v>2000</v>
      </c>
    </row>
    <row r="7">
      <c r="A7" s="5" t="inlineStr">
        <is>
          <t>Rendimento Carteira</t>
        </is>
      </c>
      <c r="B7" s="7" t="n">
        <v>0.006</v>
      </c>
    </row>
    <row r="8">
      <c r="A8" s="5" t="inlineStr">
        <is>
          <t>Sugestão de Investimento (30%)</t>
        </is>
      </c>
      <c r="B8" s="8">
        <f>B6*0.3</f>
        <v/>
      </c>
    </row>
    <row r="9"/>
    <row r="10">
      <c r="A10" s="3" t="inlineStr">
        <is>
          <t>INVESTIMENTO MENSAL</t>
        </is>
      </c>
      <c r="B10" s="4" t="n"/>
    </row>
    <row r="11">
      <c r="A11" s="5" t="inlineStr">
        <is>
          <t>Quanto investir por mês ?</t>
        </is>
      </c>
      <c r="B11" s="6" t="n">
        <v>200</v>
      </c>
    </row>
    <row r="12">
      <c r="A12" s="5" t="inlineStr">
        <is>
          <t>Por Quantos Anos ?</t>
        </is>
      </c>
      <c r="B12" s="9" t="n">
        <v>5</v>
      </c>
    </row>
    <row r="13">
      <c r="A13" s="5" t="inlineStr">
        <is>
          <t>Taxa de Rendimento mensal ?</t>
        </is>
      </c>
      <c r="B13" s="10" t="n">
        <v>0.01079</v>
      </c>
    </row>
    <row r="14">
      <c r="A14" s="3" t="inlineStr">
        <is>
          <t>Patrimônio acumulado ?</t>
        </is>
      </c>
      <c r="B14" s="11">
        <f>VF(B13; B12*12; -B11; 0)</f>
        <v/>
      </c>
    </row>
    <row r="15">
      <c r="A15" s="3" t="inlineStr">
        <is>
          <t>Dividendos Mensais ?</t>
        </is>
      </c>
      <c r="B15" s="11">
        <f>B14*B7</f>
        <v/>
      </c>
    </row>
    <row r="16"/>
    <row r="17">
      <c r="A17" s="12" t="inlineStr">
        <is>
          <t>Cenários (Anos)</t>
        </is>
      </c>
      <c r="B17" s="12" t="inlineStr">
        <is>
          <t>Patrimônio</t>
        </is>
      </c>
      <c r="C17" s="12" t="inlineStr">
        <is>
          <t>Dividendo</t>
        </is>
      </c>
    </row>
    <row r="18">
      <c r="A18" s="13" t="n">
        <v>2</v>
      </c>
      <c r="B18" s="14">
        <f>VF($B$13; A18*12; -$B$11; 0)</f>
        <v/>
      </c>
      <c r="C18" s="14">
        <f>B18*$B$7</f>
        <v/>
      </c>
    </row>
    <row r="19">
      <c r="A19" s="13" t="n">
        <v>5</v>
      </c>
      <c r="B19" s="14">
        <f>VF($B$13; A19*12; -$B$11; 0)</f>
        <v/>
      </c>
      <c r="C19" s="14">
        <f>B19*$B$7</f>
        <v/>
      </c>
    </row>
    <row r="20">
      <c r="A20" s="13" t="n">
        <v>10</v>
      </c>
      <c r="B20" s="14">
        <f>VF($B$13; A20*12; -$B$11; 0)</f>
        <v/>
      </c>
      <c r="C20" s="14">
        <f>B20*$B$7</f>
        <v/>
      </c>
    </row>
    <row r="21">
      <c r="A21" s="13" t="n">
        <v>20</v>
      </c>
      <c r="B21" s="14">
        <f>VF($B$13; A21*12; -$B$11; 0)</f>
        <v/>
      </c>
      <c r="C21" s="14">
        <f>B21*$B$7</f>
        <v/>
      </c>
    </row>
    <row r="22">
      <c r="A22" s="13" t="n">
        <v>30</v>
      </c>
      <c r="B22" s="14">
        <f>VF($B$13; A22*12; -$B$11; 0)</f>
        <v/>
      </c>
      <c r="C22" s="14">
        <f>B22*$B$7</f>
        <v/>
      </c>
    </row>
    <row r="23"/>
    <row r="24">
      <c r="A24" s="3" t="inlineStr">
        <is>
          <t>PERFIL SELECIONADO:</t>
        </is>
      </c>
      <c r="B24" s="15" t="inlineStr">
        <is>
          <t>Moderado</t>
        </is>
      </c>
    </row>
    <row r="25"/>
    <row r="26">
      <c r="A26" s="16" t="inlineStr">
        <is>
          <t>TIPO DE FII</t>
        </is>
      </c>
      <c r="B26" s="17" t="inlineStr">
        <is>
          <t>Percentual Sugerido</t>
        </is>
      </c>
      <c r="C26" s="17" t="inlineStr">
        <is>
          <t>Valores</t>
        </is>
      </c>
    </row>
    <row r="27">
      <c r="A27" s="5" t="inlineStr">
        <is>
          <t>PAPEL</t>
        </is>
      </c>
      <c r="B27" s="18">
        <f>PROCV($B$24&amp;"-"&amp;A27; Apoio_Dados!A:D; 4; FALSO)</f>
        <v/>
      </c>
      <c r="C27" s="19">
        <f>$B$11*B27</f>
        <v/>
      </c>
    </row>
    <row r="28">
      <c r="A28" s="5" t="inlineStr">
        <is>
          <t>TIJOLO</t>
        </is>
      </c>
      <c r="B28" s="18">
        <f>PROCV($B$24&amp;"-"&amp;A28; Apoio_Dados!A:D; 4; FALSO)</f>
        <v/>
      </c>
      <c r="C28" s="19">
        <f>$B$11*B28</f>
        <v/>
      </c>
    </row>
    <row r="29">
      <c r="A29" s="5" t="inlineStr">
        <is>
          <t>HÍBRIDOS</t>
        </is>
      </c>
      <c r="B29" s="18">
        <f>PROCV($B$24&amp;"-"&amp;A29; Apoio_Dados!A:D; 4; FALSO)</f>
        <v/>
      </c>
      <c r="C29" s="19">
        <f>$B$11*B29</f>
        <v/>
      </c>
    </row>
    <row r="30">
      <c r="A30" s="5" t="inlineStr">
        <is>
          <t>FOFs</t>
        </is>
      </c>
      <c r="B30" s="18">
        <f>PROCV($B$24&amp;"-"&amp;A30; Apoio_Dados!A:D; 4; FALSO)</f>
        <v/>
      </c>
      <c r="C30" s="19">
        <f>$B$11*B30</f>
        <v/>
      </c>
    </row>
    <row r="31">
      <c r="A31" s="5" t="inlineStr">
        <is>
          <t>DESENVOLVIMENTO</t>
        </is>
      </c>
      <c r="B31" s="18">
        <f>PROCV($B$24&amp;"-"&amp;A31; Apoio_Dados!A:D; 4; FALSO)</f>
        <v/>
      </c>
      <c r="C31" s="19">
        <f>$B$11*B31</f>
        <v/>
      </c>
    </row>
    <row r="32">
      <c r="A32" s="5" t="inlineStr">
        <is>
          <t>HOTELARIAS</t>
        </is>
      </c>
      <c r="B32" s="18">
        <f>PROCV($B$24&amp;"-"&amp;A32; Apoio_Dados!A:D; 4; FALSO)</f>
        <v/>
      </c>
      <c r="C32" s="19">
        <f>$B$11*B32</f>
        <v/>
      </c>
    </row>
    <row r="33">
      <c r="A33" s="3" t="inlineStr">
        <is>
          <t>Total</t>
        </is>
      </c>
      <c r="B33" s="20">
        <f>SUM(B27:B32)</f>
        <v/>
      </c>
      <c r="C33" s="21">
        <f>SUM(C27:C32)</f>
        <v/>
      </c>
    </row>
  </sheetData>
  <mergeCells count="1">
    <mergeCell ref="A1:G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2" customWidth="1" min="4" max="4"/>
  </cols>
  <sheetData>
    <row r="1">
      <c r="A1" s="16" t="inlineStr">
        <is>
          <t>CHAVE</t>
        </is>
      </c>
      <c r="B1" s="16" t="inlineStr">
        <is>
          <t>PERFIL</t>
        </is>
      </c>
      <c r="C1" s="16" t="inlineStr">
        <is>
          <t>TIPO DE FII</t>
        </is>
      </c>
      <c r="D1" s="16" t="inlineStr">
        <is>
          <t>%</t>
        </is>
      </c>
    </row>
    <row r="2">
      <c r="A2" s="22" t="inlineStr">
        <is>
          <t>Conservador-PAPEL</t>
        </is>
      </c>
      <c r="B2" s="22" t="inlineStr">
        <is>
          <t>Conservador</t>
        </is>
      </c>
      <c r="C2" s="22" t="inlineStr">
        <is>
          <t>PAPEL</t>
        </is>
      </c>
      <c r="D2" s="23" t="n">
        <v>0.3</v>
      </c>
    </row>
    <row r="3">
      <c r="A3" s="22" t="inlineStr">
        <is>
          <t>Conservador-TIJOLO</t>
        </is>
      </c>
      <c r="B3" s="22" t="inlineStr">
        <is>
          <t>Conservador</t>
        </is>
      </c>
      <c r="C3" s="22" t="inlineStr">
        <is>
          <t>TIJOLO</t>
        </is>
      </c>
      <c r="D3" s="23" t="n">
        <v>0.5</v>
      </c>
    </row>
    <row r="4">
      <c r="A4" s="22" t="inlineStr">
        <is>
          <t>Conservador-HÍBRIDOS</t>
        </is>
      </c>
      <c r="B4" s="22" t="inlineStr">
        <is>
          <t>Conservador</t>
        </is>
      </c>
      <c r="C4" s="22" t="inlineStr">
        <is>
          <t>HÍBRIDOS</t>
        </is>
      </c>
      <c r="D4" s="23" t="n">
        <v>0.1</v>
      </c>
    </row>
    <row r="5">
      <c r="A5" s="22" t="inlineStr">
        <is>
          <t>Conservador-FOFs</t>
        </is>
      </c>
      <c r="B5" s="22" t="inlineStr">
        <is>
          <t>Conservador</t>
        </is>
      </c>
      <c r="C5" s="22" t="inlineStr">
        <is>
          <t>FOFs</t>
        </is>
      </c>
      <c r="D5" s="23" t="n">
        <v>0.1</v>
      </c>
    </row>
    <row r="6">
      <c r="A6" s="22" t="inlineStr">
        <is>
          <t>Conservador-DESENVOLVIMENTO</t>
        </is>
      </c>
      <c r="B6" s="22" t="inlineStr">
        <is>
          <t>Conservador</t>
        </is>
      </c>
      <c r="C6" s="22" t="inlineStr">
        <is>
          <t>DESENVOLVIMENTO</t>
        </is>
      </c>
      <c r="D6" s="23" t="n">
        <v>0</v>
      </c>
    </row>
    <row r="7">
      <c r="A7" s="22" t="inlineStr">
        <is>
          <t>Conservador-HOTELARIAS</t>
        </is>
      </c>
      <c r="B7" s="22" t="inlineStr">
        <is>
          <t>Conservador</t>
        </is>
      </c>
      <c r="C7" s="22" t="inlineStr">
        <is>
          <t>HOTELARIAS</t>
        </is>
      </c>
      <c r="D7" s="23" t="n">
        <v>0</v>
      </c>
    </row>
    <row r="8">
      <c r="A8" s="22" t="inlineStr">
        <is>
          <t>Moderado-PAPEL</t>
        </is>
      </c>
      <c r="B8" s="22" t="inlineStr">
        <is>
          <t>Moderado</t>
        </is>
      </c>
      <c r="C8" s="22" t="inlineStr">
        <is>
          <t>PAPEL</t>
        </is>
      </c>
      <c r="D8" s="23" t="n">
        <v>0.32</v>
      </c>
    </row>
    <row r="9">
      <c r="A9" s="22" t="inlineStr">
        <is>
          <t>Moderado-TIJOLO</t>
        </is>
      </c>
      <c r="B9" s="22" t="inlineStr">
        <is>
          <t>Moderado</t>
        </is>
      </c>
      <c r="C9" s="22" t="inlineStr">
        <is>
          <t>TIJOLO</t>
        </is>
      </c>
      <c r="D9" s="23" t="n">
        <v>0.35</v>
      </c>
    </row>
    <row r="10">
      <c r="A10" s="22" t="inlineStr">
        <is>
          <t>Moderado-HÍBRIDOS</t>
        </is>
      </c>
      <c r="B10" s="22" t="inlineStr">
        <is>
          <t>Moderado</t>
        </is>
      </c>
      <c r="C10" s="22" t="inlineStr">
        <is>
          <t>HÍBRIDOS</t>
        </is>
      </c>
      <c r="D10" s="23" t="n">
        <v>0.08</v>
      </c>
    </row>
    <row r="11">
      <c r="A11" s="22" t="inlineStr">
        <is>
          <t>Moderado-FOFs</t>
        </is>
      </c>
      <c r="B11" s="22" t="inlineStr">
        <is>
          <t>Moderado</t>
        </is>
      </c>
      <c r="C11" s="22" t="inlineStr">
        <is>
          <t>FOFs</t>
        </is>
      </c>
      <c r="D11" s="23" t="n">
        <v>0.05</v>
      </c>
    </row>
    <row r="12">
      <c r="A12" s="22" t="inlineStr">
        <is>
          <t>Moderado-DESENVOLVIMENTO</t>
        </is>
      </c>
      <c r="B12" s="22" t="inlineStr">
        <is>
          <t>Moderado</t>
        </is>
      </c>
      <c r="C12" s="22" t="inlineStr">
        <is>
          <t>DESENVOLVIMENTO</t>
        </is>
      </c>
      <c r="D12" s="23" t="n">
        <v>0.1</v>
      </c>
    </row>
    <row r="13">
      <c r="A13" s="22" t="inlineStr">
        <is>
          <t>Moderado-HOTELARIAS</t>
        </is>
      </c>
      <c r="B13" s="22" t="inlineStr">
        <is>
          <t>Moderado</t>
        </is>
      </c>
      <c r="C13" s="22" t="inlineStr">
        <is>
          <t>HOTELARIAS</t>
        </is>
      </c>
      <c r="D13" s="23" t="n">
        <v>0.1</v>
      </c>
    </row>
    <row r="14">
      <c r="A14" s="22" t="inlineStr">
        <is>
          <t>Agressivo-PAPEL</t>
        </is>
      </c>
      <c r="B14" s="22" t="inlineStr">
        <is>
          <t>Agressivo</t>
        </is>
      </c>
      <c r="C14" s="22" t="inlineStr">
        <is>
          <t>PAPEL</t>
        </is>
      </c>
      <c r="D14" s="23" t="n">
        <v>0.5</v>
      </c>
    </row>
    <row r="15">
      <c r="A15" s="22" t="inlineStr">
        <is>
          <t>Agressivo-TIJOLO</t>
        </is>
      </c>
      <c r="B15" s="22" t="inlineStr">
        <is>
          <t>Agressivo</t>
        </is>
      </c>
      <c r="C15" s="22" t="inlineStr">
        <is>
          <t>TIJOLO</t>
        </is>
      </c>
      <c r="D15" s="23" t="n">
        <v>0.1</v>
      </c>
    </row>
    <row r="16">
      <c r="A16" s="22" t="inlineStr">
        <is>
          <t>Agressivo-HÍBRIDOS</t>
        </is>
      </c>
      <c r="B16" s="22" t="inlineStr">
        <is>
          <t>Agressivo</t>
        </is>
      </c>
      <c r="C16" s="22" t="inlineStr">
        <is>
          <t>HÍBRIDOS</t>
        </is>
      </c>
      <c r="D16" s="23" t="n">
        <v>0.05</v>
      </c>
    </row>
    <row r="17">
      <c r="A17" s="22" t="inlineStr">
        <is>
          <t>Agressivo-FOFs</t>
        </is>
      </c>
      <c r="B17" s="22" t="inlineStr">
        <is>
          <t>Agressivo</t>
        </is>
      </c>
      <c r="C17" s="22" t="inlineStr">
        <is>
          <t>FOFs</t>
        </is>
      </c>
      <c r="D17" s="23" t="n">
        <v>0.05</v>
      </c>
    </row>
    <row r="18">
      <c r="A18" s="22" t="inlineStr">
        <is>
          <t>Agressivo-DESENVOLVIMENTO</t>
        </is>
      </c>
      <c r="B18" s="22" t="inlineStr">
        <is>
          <t>Agressivo</t>
        </is>
      </c>
      <c r="C18" s="22" t="inlineStr">
        <is>
          <t>DESENVOLVIMENTO</t>
        </is>
      </c>
      <c r="D18" s="23" t="n">
        <v>0.2</v>
      </c>
    </row>
    <row r="19">
      <c r="A19" s="22" t="inlineStr">
        <is>
          <t>Agressivo-HOTELARIAS</t>
        </is>
      </c>
      <c r="B19" s="22" t="inlineStr">
        <is>
          <t>Agressivo</t>
        </is>
      </c>
      <c r="C19" s="22" t="inlineStr">
        <is>
          <t>HOTELARIAS</t>
        </is>
      </c>
      <c r="D19" s="2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2026-10-04T20:20:23Z</dcterms:created>
  <dcterms:modified xmlns:dcterms="http://purl.org/dc/terms/" xmlns:xsi="http://www.w3.org/2001/XMLSchema-instance" xsi:type="dcterms:W3CDTF">2026-10-04T20:20:23Z</dcterms:modified>
</cp:coreProperties>
</file>